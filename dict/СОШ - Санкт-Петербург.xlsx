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y_urban_model\dict\"/>
    </mc:Choice>
  </mc:AlternateContent>
  <xr:revisionPtr revIDLastSave="0" documentId="8_{1C23E6D9-FE8D-4DCD-AA26-BA7EE1CAFFA1}" xr6:coauthVersionLast="47" xr6:coauthVersionMax="47" xr10:uidLastSave="{00000000-0000-0000-0000-000000000000}"/>
  <bookViews>
    <workbookView xWindow="-120" yWindow="-120" windowWidth="29040" windowHeight="15720" xr2:uid="{ED8AF774-F848-4B09-A434-4D3E9AEE8B9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E10" i="1" s="1"/>
  <c r="D9" i="1"/>
  <c r="E9" i="1" s="1"/>
  <c r="D8" i="1"/>
  <c r="E8" i="1" s="1"/>
  <c r="D7" i="1"/>
  <c r="E7" i="1" s="1"/>
  <c r="E6" i="1"/>
  <c r="D6" i="1"/>
  <c r="E5" i="1"/>
  <c r="D5" i="1"/>
  <c r="D4" i="1"/>
  <c r="E4" i="1" s="1"/>
  <c r="D3" i="1"/>
  <c r="E3" i="1" s="1"/>
</calcChain>
</file>

<file path=xl/sharedStrings.xml><?xml version="1.0" encoding="utf-8"?>
<sst xmlns="http://schemas.openxmlformats.org/spreadsheetml/2006/main" count="38" uniqueCount="33">
  <si>
    <t>Параллель</t>
  </si>
  <si>
    <t>Мощность, мест</t>
  </si>
  <si>
    <t>Норма</t>
  </si>
  <si>
    <t>Площадь земельного участка</t>
  </si>
  <si>
    <t>Площадь земельного участка с спортивным ядром и бассейном</t>
  </si>
  <si>
    <t>Общая площадь здания</t>
  </si>
  <si>
    <t>Максимальная высота</t>
  </si>
  <si>
    <t>Минимальная площадь застройки (данные от КС по Замечаниям)</t>
  </si>
  <si>
    <t>Кол-во работников (данные от КС по Замечаниям)</t>
  </si>
  <si>
    <t>II</t>
  </si>
  <si>
    <t>III</t>
  </si>
  <si>
    <t>IV</t>
  </si>
  <si>
    <t>V</t>
  </si>
  <si>
    <t>VI</t>
  </si>
  <si>
    <t>VII</t>
  </si>
  <si>
    <t>VIII</t>
  </si>
  <si>
    <t>IX</t>
  </si>
  <si>
    <t>Отдельно стоящие средние общеобразовательные учреждения (СОШ)</t>
  </si>
  <si>
    <t>Примечание</t>
  </si>
  <si>
    <t>9000*</t>
  </si>
  <si>
    <t>178*</t>
  </si>
  <si>
    <t>10000*</t>
  </si>
  <si>
    <t>263*</t>
  </si>
  <si>
    <t>10500*</t>
  </si>
  <si>
    <t>305*</t>
  </si>
  <si>
    <t>11000*</t>
  </si>
  <si>
    <t>348*</t>
  </si>
  <si>
    <t>11500*</t>
  </si>
  <si>
    <t>390*</t>
  </si>
  <si>
    <t>* данных от КС нет, заполнены линейной экстраполяцией и интерполяцией.</t>
  </si>
  <si>
    <t>Нет в РМД "Компановочные схемы". Возможно поебует согласование (предпроект).</t>
  </si>
  <si>
    <t>Есть в РМД "Компановочные схемы". Предпроект не требуется.</t>
  </si>
  <si>
    <t>Минимальная наполняемость не менее 550 мест (Письмо К.Обр №03-28-3794/21-0-0 от 29.04.2021). Есть в РМД "Компановочные схемы". Предпроект не требуется.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</si>
</sst>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 wrapText="1"/>
    </xf>
    <xf numFmtId="0" fontId="0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6443-9DE2-49E1-AA5E-0B1232EE47A2}">
  <dimension ref="A1:J11"/>
  <sheetViews>
    <sheetView tabSelected="1" workbookViewId="0">
      <selection activeCell="G14" sqref="G14"/>
    </sheetView>
  </sheetViews>
  <sheetFormatPr defaultRowHeight="15" x14ac:dyDescent="0.25"/>
  <cols>
    <col min="1" max="9" width="14" customWidth="1"/>
    <col min="10" max="10" width="78.42578125" customWidth="1"/>
  </cols>
  <sheetData>
    <row r="1" spans="1:10" x14ac:dyDescent="0.25">
      <c r="A1" s="11" t="s">
        <v>17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0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18</v>
      </c>
    </row>
    <row r="3" spans="1:10" ht="30" x14ac:dyDescent="0.25">
      <c r="A3" s="3" t="s">
        <v>9</v>
      </c>
      <c r="B3" s="4">
        <v>550</v>
      </c>
      <c r="C3" s="3">
        <v>35</v>
      </c>
      <c r="D3" s="5">
        <f t="shared" ref="D3:D10" si="0">B3*C3</f>
        <v>19250</v>
      </c>
      <c r="E3" s="6">
        <f t="shared" ref="E3:E10" si="1">D3+9000</f>
        <v>28250</v>
      </c>
      <c r="F3" s="5">
        <v>16500</v>
      </c>
      <c r="G3" s="3">
        <v>31</v>
      </c>
      <c r="H3" s="3">
        <v>5000</v>
      </c>
      <c r="I3" s="3">
        <v>90</v>
      </c>
      <c r="J3" s="13" t="s">
        <v>32</v>
      </c>
    </row>
    <row r="4" spans="1:10" x14ac:dyDescent="0.25">
      <c r="A4" s="3" t="s">
        <v>10</v>
      </c>
      <c r="B4" s="4">
        <v>825</v>
      </c>
      <c r="C4" s="3">
        <v>28</v>
      </c>
      <c r="D4" s="5">
        <f t="shared" si="0"/>
        <v>23100</v>
      </c>
      <c r="E4" s="6">
        <f t="shared" si="1"/>
        <v>32100</v>
      </c>
      <c r="F4" s="5">
        <v>24750</v>
      </c>
      <c r="G4" s="3">
        <v>31</v>
      </c>
      <c r="H4" s="3">
        <v>8500</v>
      </c>
      <c r="I4" s="3">
        <v>135</v>
      </c>
      <c r="J4" s="12" t="s">
        <v>31</v>
      </c>
    </row>
    <row r="5" spans="1:10" x14ac:dyDescent="0.25">
      <c r="A5" s="3" t="s">
        <v>11</v>
      </c>
      <c r="B5" s="3">
        <v>1100</v>
      </c>
      <c r="C5" s="3">
        <v>24</v>
      </c>
      <c r="D5" s="5">
        <f t="shared" si="0"/>
        <v>26400</v>
      </c>
      <c r="E5" s="6">
        <f t="shared" si="1"/>
        <v>35400</v>
      </c>
      <c r="F5" s="5">
        <v>27500</v>
      </c>
      <c r="G5" s="3">
        <v>31</v>
      </c>
      <c r="H5" s="3" t="s">
        <v>19</v>
      </c>
      <c r="I5" s="3" t="s">
        <v>20</v>
      </c>
      <c r="J5" s="12" t="s">
        <v>30</v>
      </c>
    </row>
    <row r="6" spans="1:10" ht="30" x14ac:dyDescent="0.25">
      <c r="A6" s="7" t="s">
        <v>12</v>
      </c>
      <c r="B6" s="8">
        <v>1375</v>
      </c>
      <c r="C6" s="9">
        <v>24</v>
      </c>
      <c r="D6" s="10">
        <f t="shared" si="0"/>
        <v>33000</v>
      </c>
      <c r="E6" s="10">
        <f t="shared" si="1"/>
        <v>42000</v>
      </c>
      <c r="F6" s="10">
        <v>34375</v>
      </c>
      <c r="G6" s="9">
        <v>31</v>
      </c>
      <c r="H6" s="9">
        <v>9500</v>
      </c>
      <c r="I6" s="9">
        <v>220</v>
      </c>
      <c r="J6" s="14" t="s">
        <v>31</v>
      </c>
    </row>
    <row r="7" spans="1:10" x14ac:dyDescent="0.25">
      <c r="A7" s="3" t="s">
        <v>13</v>
      </c>
      <c r="B7" s="3">
        <v>1650</v>
      </c>
      <c r="C7" s="3">
        <v>22</v>
      </c>
      <c r="D7" s="5">
        <f t="shared" si="0"/>
        <v>36300</v>
      </c>
      <c r="E7" s="6">
        <f t="shared" si="1"/>
        <v>45300</v>
      </c>
      <c r="F7" s="5">
        <v>41250</v>
      </c>
      <c r="G7" s="3">
        <v>31</v>
      </c>
      <c r="H7" s="3" t="s">
        <v>21</v>
      </c>
      <c r="I7" s="3" t="s">
        <v>22</v>
      </c>
      <c r="J7" s="12" t="s">
        <v>30</v>
      </c>
    </row>
    <row r="8" spans="1:10" x14ac:dyDescent="0.25">
      <c r="A8" s="3" t="s">
        <v>14</v>
      </c>
      <c r="B8" s="3">
        <v>1925</v>
      </c>
      <c r="C8" s="3">
        <v>22</v>
      </c>
      <c r="D8" s="5">
        <f t="shared" si="0"/>
        <v>42350</v>
      </c>
      <c r="E8" s="6">
        <f t="shared" si="1"/>
        <v>51350</v>
      </c>
      <c r="F8" s="5">
        <v>48125</v>
      </c>
      <c r="G8" s="3">
        <v>31</v>
      </c>
      <c r="H8" s="3" t="s">
        <v>23</v>
      </c>
      <c r="I8" s="3" t="s">
        <v>24</v>
      </c>
      <c r="J8" s="12" t="s">
        <v>30</v>
      </c>
    </row>
    <row r="9" spans="1:10" x14ac:dyDescent="0.25">
      <c r="A9" s="3" t="s">
        <v>15</v>
      </c>
      <c r="B9" s="3">
        <v>2200</v>
      </c>
      <c r="C9" s="3">
        <v>22</v>
      </c>
      <c r="D9" s="5">
        <f t="shared" si="0"/>
        <v>48400</v>
      </c>
      <c r="E9" s="6">
        <f t="shared" si="1"/>
        <v>57400</v>
      </c>
      <c r="F9" s="5">
        <v>55000</v>
      </c>
      <c r="G9" s="3">
        <v>31</v>
      </c>
      <c r="H9" s="3" t="s">
        <v>25</v>
      </c>
      <c r="I9" s="3" t="s">
        <v>26</v>
      </c>
      <c r="J9" s="12" t="s">
        <v>30</v>
      </c>
    </row>
    <row r="10" spans="1:10" x14ac:dyDescent="0.25">
      <c r="A10" s="3" t="s">
        <v>16</v>
      </c>
      <c r="B10" s="3">
        <v>2475</v>
      </c>
      <c r="C10" s="3">
        <v>22</v>
      </c>
      <c r="D10" s="5">
        <f t="shared" si="0"/>
        <v>54450</v>
      </c>
      <c r="E10" s="6">
        <f t="shared" si="1"/>
        <v>63450</v>
      </c>
      <c r="F10" s="5">
        <v>61875</v>
      </c>
      <c r="G10" s="3">
        <v>31</v>
      </c>
      <c r="H10" s="3" t="s">
        <v>27</v>
      </c>
      <c r="I10" s="3" t="s">
        <v>28</v>
      </c>
      <c r="J10" s="12" t="s">
        <v>30</v>
      </c>
    </row>
    <row r="11" spans="1:10" x14ac:dyDescent="0.25">
      <c r="A11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Ж.</dc:creator>
  <cp:lastModifiedBy>Михаил Ж.</cp:lastModifiedBy>
  <dcterms:created xsi:type="dcterms:W3CDTF">2026-05-13T18:27:59Z</dcterms:created>
  <dcterms:modified xsi:type="dcterms:W3CDTF">2026-05-13T18:40:36Z</dcterms:modified>
</cp:coreProperties>
</file>